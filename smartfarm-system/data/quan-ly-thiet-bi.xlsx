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db653f33107c1866/Desktop/smartfarm-system/data/"/>
    </mc:Choice>
  </mc:AlternateContent>
  <xr:revisionPtr revIDLastSave="36" documentId="11_6A9FFA0E0F875963229B23E3811ADADFC1E62B98" xr6:coauthVersionLast="47" xr6:coauthVersionMax="47" xr10:uidLastSave="{EE589D7B-247C-466F-87FC-5755293B38B4}"/>
  <bookViews>
    <workbookView xWindow="3435" yWindow="2550" windowWidth="21600" windowHeight="11295" activeTab="1" xr2:uid="{00000000-000D-0000-FFFF-FFFF00000000}"/>
  </bookViews>
  <sheets>
    <sheet name="danh-muc-linh-kien" sheetId="1" r:id="rId1"/>
    <sheet name="trang-thai-tram" sheetId="2" r:id="rId2"/>
  </sheets>
  <definedNames>
    <definedName name="_xlnm._FilterDatabase" localSheetId="1" hidden="1">'trang-thai-tram'!$A$1:$F$12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E3" i="2"/>
  <c r="F3" i="2" s="1"/>
  <c r="E4" i="2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E2" i="2"/>
</calcChain>
</file>

<file path=xl/sharedStrings.xml><?xml version="1.0" encoding="utf-8"?>
<sst xmlns="http://schemas.openxmlformats.org/spreadsheetml/2006/main" count="48" uniqueCount="36">
  <si>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</si>
  <si>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</si>
  <si>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</si>
  <si>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</si>
  <si>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</si>
  <si>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</si>
  <si>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</si>
  <si>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</si>
  <si>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</si>
  <si>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</si>
  <si>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</si>
  <si>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</si>
  <si>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</si>
  <si>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</si>
  <si>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</si>
  <si>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</si>
  <si>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</si>
  <si>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</si>
  <si>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</si>
  <si>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</si>
  <si>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</si>
  <si>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</si>
  <si>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</si>
  <si>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</si>
  <si>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</si>
  <si>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</si>
  <si>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</si>
  <si>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</si>
  <si>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</si>
  <si>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</si>
  <si>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</si>
  <si>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</si>
  <si>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</si>
  <si>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</si>
  <si>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</si>
  <si>
    <t>ma_linh_kien_sach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</si>
</sst>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E2" sqref="E2"/>
    </sheetView>
  </sheetViews>
  <sheetFormatPr defaultRowHeight="15" x14ac:dyDescent="0.25"/>
  <cols>
    <col min="1" max="4" width="2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>
        <v>1450000</v>
      </c>
      <c r="D2" t="s">
        <v>6</v>
      </c>
    </row>
    <row r="3" spans="1:4" x14ac:dyDescent="0.25">
      <c r="A3" t="s">
        <v>7</v>
      </c>
      <c r="B3" t="s">
        <v>8</v>
      </c>
      <c r="C3" s="2">
        <v>6200000</v>
      </c>
      <c r="D3" t="s">
        <v>6</v>
      </c>
    </row>
    <row r="4" spans="1:4" x14ac:dyDescent="0.25">
      <c r="A4" t="s">
        <v>9</v>
      </c>
      <c r="B4" t="s">
        <v>10</v>
      </c>
      <c r="C4" s="2">
        <v>2300000</v>
      </c>
      <c r="D4" t="s">
        <v>6</v>
      </c>
    </row>
    <row r="5" spans="1:4" x14ac:dyDescent="0.25">
      <c r="A5" t="s">
        <v>11</v>
      </c>
      <c r="B5" t="s">
        <v>12</v>
      </c>
      <c r="C5" s="2">
        <v>5400000</v>
      </c>
      <c r="D5" t="s">
        <v>13</v>
      </c>
    </row>
    <row r="6" spans="1:4" x14ac:dyDescent="0.25">
      <c r="A6" t="s">
        <v>14</v>
      </c>
      <c r="B6" t="s">
        <v>15</v>
      </c>
      <c r="C6" s="2">
        <v>4200000</v>
      </c>
      <c r="D6" t="s">
        <v>6</v>
      </c>
    </row>
    <row r="7" spans="1:4" x14ac:dyDescent="0.25">
      <c r="A7" t="s">
        <v>16</v>
      </c>
      <c r="B7" t="s">
        <v>17</v>
      </c>
      <c r="C7" s="2">
        <v>3900000</v>
      </c>
      <c r="D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abSelected="1" workbookViewId="0">
      <selection activeCell="F2" sqref="F2"/>
    </sheetView>
  </sheetViews>
  <sheetFormatPr defaultRowHeight="15" x14ac:dyDescent="0.25"/>
  <cols>
    <col min="1" max="4" width="24" customWidth="1"/>
    <col min="5" max="5" width="18.140625" bestFit="1" customWidth="1"/>
    <col min="6" max="7" width="22.140625" customWidth="1"/>
  </cols>
  <sheetData>
    <row r="1" spans="1:6" x14ac:dyDescent="0.25">
      <c r="A1" s="1" t="s">
        <v>18</v>
      </c>
      <c r="B1" s="1" t="s">
        <v>0</v>
      </c>
      <c r="C1" s="1" t="s">
        <v>19</v>
      </c>
      <c r="D1" s="1" t="s">
        <v>20</v>
      </c>
      <c r="E1" s="1" t="s">
        <v>35</v>
      </c>
      <c r="F1" s="1" t="s">
        <v>1</v>
      </c>
    </row>
    <row r="2" spans="1:6" x14ac:dyDescent="0.25">
      <c r="A2" t="s">
        <v>21</v>
      </c>
      <c r="B2" t="s">
        <v>7</v>
      </c>
      <c r="C2">
        <v>16</v>
      </c>
      <c r="D2" s="3">
        <v>46093</v>
      </c>
      <c r="E2" t="str">
        <f>TRIM(B2)</f>
        <v>LK02</v>
      </c>
      <c r="F2" t="str">
        <f>VLOOKUP(E2,'danh-muc-linh-kien'!$A$2:$D$7,2,FALSE)</f>
        <v>Intel NUC i3</v>
      </c>
    </row>
    <row r="3" spans="1:6" x14ac:dyDescent="0.25">
      <c r="A3" t="s">
        <v>22</v>
      </c>
      <c r="B3" t="s">
        <v>23</v>
      </c>
      <c r="C3">
        <v>4</v>
      </c>
      <c r="D3" s="3">
        <v>46096</v>
      </c>
      <c r="E3" t="str">
        <f t="shared" ref="E3:E12" si="0">TRIM(B3)</f>
        <v>LK01</v>
      </c>
      <c r="F3" t="str">
        <f>VLOOKUP(E3,'danh-muc-linh-kien'!$A$2:$D$7,2,FALSE)</f>
        <v>Raspberry Pi 4 Model B</v>
      </c>
    </row>
    <row r="4" spans="1:6" x14ac:dyDescent="0.25">
      <c r="A4" t="s">
        <v>24</v>
      </c>
      <c r="B4" t="s">
        <v>25</v>
      </c>
      <c r="C4">
        <v>8</v>
      </c>
      <c r="D4" s="3">
        <v>46114</v>
      </c>
      <c r="E4" t="str">
        <f t="shared" si="0"/>
        <v>LK05</v>
      </c>
      <c r="F4" t="str">
        <f>VLOOKUP(E4,'danh-muc-linh-kien'!$A$2:$D$7,2,FALSE)</f>
        <v>Mini PC Fanless N100</v>
      </c>
    </row>
    <row r="5" spans="1:6" x14ac:dyDescent="0.25">
      <c r="A5" t="s">
        <v>26</v>
      </c>
      <c r="B5" t="s">
        <v>9</v>
      </c>
      <c r="C5">
        <v>8</v>
      </c>
      <c r="D5" s="3">
        <v>46121</v>
      </c>
      <c r="E5" t="str">
        <f t="shared" si="0"/>
        <v>LK03</v>
      </c>
      <c r="F5" t="str">
        <f>VLOOKUP(E5,'danh-muc-linh-kien'!$A$2:$D$7,2,FALSE)</f>
        <v>Orange Pi 5</v>
      </c>
    </row>
    <row r="6" spans="1:6" x14ac:dyDescent="0.25">
      <c r="A6" t="s">
        <v>27</v>
      </c>
      <c r="B6" t="s">
        <v>28</v>
      </c>
      <c r="C6">
        <v>16</v>
      </c>
      <c r="D6" s="3">
        <v>46133</v>
      </c>
      <c r="E6" t="str">
        <f t="shared" si="0"/>
        <v>LK02</v>
      </c>
      <c r="F6" t="str">
        <f>VLOOKUP(E6,'danh-muc-linh-kien'!$A$2:$D$7,2,FALSE)</f>
        <v>Intel NUC i3</v>
      </c>
    </row>
    <row r="7" spans="1:6" x14ac:dyDescent="0.25">
      <c r="A7" t="s">
        <v>29</v>
      </c>
      <c r="B7" t="s">
        <v>16</v>
      </c>
      <c r="C7">
        <v>4</v>
      </c>
      <c r="D7" s="3">
        <v>46147</v>
      </c>
      <c r="E7" t="str">
        <f t="shared" si="0"/>
        <v>LK06</v>
      </c>
      <c r="F7" t="str">
        <f>VLOOKUP(E7,'danh-muc-linh-kien'!$A$2:$D$7,2,FALSE)</f>
        <v>Synology DS220j NAS</v>
      </c>
    </row>
    <row r="8" spans="1:6" x14ac:dyDescent="0.25">
      <c r="A8" t="s">
        <v>30</v>
      </c>
      <c r="B8" t="s">
        <v>4</v>
      </c>
      <c r="C8">
        <v>4</v>
      </c>
      <c r="D8" s="3">
        <v>46160</v>
      </c>
      <c r="E8" t="str">
        <f t="shared" si="0"/>
        <v>LK01</v>
      </c>
      <c r="F8" t="str">
        <f>VLOOKUP(E8,'danh-muc-linh-kien'!$A$2:$D$7,2,FALSE)</f>
        <v>Raspberry Pi 4 Model B</v>
      </c>
    </row>
    <row r="9" spans="1:6" x14ac:dyDescent="0.25">
      <c r="A9" t="s">
        <v>31</v>
      </c>
      <c r="B9" t="s">
        <v>32</v>
      </c>
      <c r="C9">
        <v>8</v>
      </c>
      <c r="D9" s="3">
        <v>46174</v>
      </c>
      <c r="E9" t="str">
        <f t="shared" si="0"/>
        <v>LK04</v>
      </c>
      <c r="F9" t="str">
        <f>VLOOKUP(E9,'danh-muc-linh-kien'!$A$2:$D$7,2,FALSE)</f>
        <v>Dell Optiplex Micro</v>
      </c>
    </row>
    <row r="10" spans="1:6" x14ac:dyDescent="0.25">
      <c r="A10" t="s">
        <v>33</v>
      </c>
      <c r="B10" t="s">
        <v>9</v>
      </c>
      <c r="C10">
        <v>8</v>
      </c>
      <c r="D10" s="3">
        <v>46187</v>
      </c>
      <c r="E10" t="str">
        <f t="shared" si="0"/>
        <v>LK03</v>
      </c>
      <c r="F10" t="str">
        <f>VLOOKUP(E10,'danh-muc-linh-kien'!$A$2:$D$7,2,FALSE)</f>
        <v>Orange Pi 5</v>
      </c>
    </row>
    <row r="11" spans="1:6" x14ac:dyDescent="0.25">
      <c r="A11" t="s">
        <v>34</v>
      </c>
      <c r="B11" t="s">
        <v>14</v>
      </c>
      <c r="C11">
        <v>8</v>
      </c>
      <c r="D11" s="3">
        <v>46206</v>
      </c>
      <c r="E11" t="str">
        <f t="shared" si="0"/>
        <v>LK05</v>
      </c>
      <c r="F11" t="str">
        <f>VLOOKUP(E11,'danh-muc-linh-kien'!$A$2:$D$7,2,FALSE)</f>
        <v>Mini PC Fanless N100</v>
      </c>
    </row>
    <row r="12" spans="1:6" x14ac:dyDescent="0.25">
      <c r="E12" t="str">
        <f t="shared" si="0"/>
        <v/>
      </c>
    </row>
  </sheetData>
  <autoFilter ref="A1:F12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Kiên Đỗ</cp:lastModifiedBy>
  <dcterms:created xsi:type="dcterms:W3CDTF">2026-10-13T00:17:08Z</dcterms:created>
  <dcterms:modified xsi:type="dcterms:W3CDTF">2026-10-27T02:33:13Z</dcterms:modified>
</cp:coreProperties>
</file>